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i\Documents\Cursos\Bootcamps\Santander - Excel com IA\Desafio de Projetos\"/>
    </mc:Choice>
  </mc:AlternateContent>
  <xr:revisionPtr revIDLastSave="0" documentId="13_ncr:1_{EF2570A9-2945-4B6D-8C8D-3B68FDB1B665}" xr6:coauthVersionLast="47" xr6:coauthVersionMax="47" xr10:uidLastSave="{00000000-0000-0000-0000-000000000000}"/>
  <bookViews>
    <workbookView xWindow="-120" yWindow="-120" windowWidth="29040" windowHeight="15720" xr2:uid="{FCD7BB5C-B5E0-476C-B6CB-39ECC970B124}"/>
  </bookViews>
  <sheets>
    <sheet name="Simulador" sheetId="3" r:id="rId1"/>
    <sheet name="Apoio" sheetId="2" r:id="rId2"/>
  </sheets>
  <externalReferences>
    <externalReference r:id="rId3"/>
  </externalReferences>
  <definedNames>
    <definedName name="aporte">[1]APP!$D$17</definedName>
    <definedName name="patrimonio">Simulador!$D$20</definedName>
    <definedName name="qtd_anos">Simulador!$D$18</definedName>
    <definedName name="rendimento_carteira">Simulador!$D$13</definedName>
    <definedName name="salario">Simulador!$D$12</definedName>
    <definedName name="sugestao_investimento">Simulador!$D$14</definedName>
    <definedName name="taxa_mensal">Simulador!$D$19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3" l="1"/>
  <c r="D21" i="3" s="1"/>
  <c r="D14" i="3"/>
  <c r="C41" i="3"/>
  <c r="D41" i="3" s="1"/>
  <c r="C40" i="3"/>
  <c r="D40" i="3" s="1"/>
  <c r="C39" i="3"/>
  <c r="D39" i="3" s="1"/>
  <c r="C38" i="3"/>
  <c r="D38" i="3" s="1"/>
  <c r="C37" i="3"/>
  <c r="D37" i="3" s="1"/>
  <c r="C36" i="3"/>
  <c r="D36" i="3" s="1"/>
  <c r="C28" i="3"/>
  <c r="D28" i="3" s="1"/>
  <c r="C27" i="3"/>
  <c r="D27" i="3" s="1"/>
  <c r="C26" i="3"/>
  <c r="D26" i="3" s="1"/>
  <c r="C25" i="3"/>
  <c r="D25" i="3" s="1"/>
  <c r="C24" i="3"/>
  <c r="D24" i="3" s="1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H4" i="2"/>
  <c r="A4" i="2"/>
  <c r="A3" i="2"/>
  <c r="D42" i="3" l="1"/>
</calcChain>
</file>

<file path=xl/sharedStrings.xml><?xml version="1.0" encoding="utf-8"?>
<sst xmlns="http://schemas.openxmlformats.org/spreadsheetml/2006/main" count="72" uniqueCount="35">
  <si>
    <t>CHAVE</t>
  </si>
  <si>
    <t>PERFIL</t>
  </si>
  <si>
    <t>TIPO DE FII</t>
  </si>
  <si>
    <t>%</t>
  </si>
  <si>
    <t>Conservador</t>
  </si>
  <si>
    <t>PAPEL</t>
  </si>
  <si>
    <t>TIJOLO</t>
  </si>
  <si>
    <t>Moderado-TIJOLO</t>
  </si>
  <si>
    <t>HÍBRIDOS</t>
  </si>
  <si>
    <t>FOFs</t>
  </si>
  <si>
    <t>DESENVOLVIMENTO</t>
  </si>
  <si>
    <t>HOTELARIAS</t>
  </si>
  <si>
    <t>Moderado</t>
  </si>
  <si>
    <t>Agressivo</t>
  </si>
  <si>
    <t>CONFIGURAÇÕES</t>
  </si>
  <si>
    <t>Salário</t>
  </si>
  <si>
    <t>Rendimento Carteira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</si>
  <si>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</si>
  <si>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</si>
  <si>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</si>
  <si>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</si>
  <si>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</si>
  <si>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</si>
  <si>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</si>
  <si>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</si>
  <si>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</si>
  <si>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</si>
  <si>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</si>
  <si>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</si>
  <si>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</si>
  <si>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VALOR A SER INVESTIDO POR MÊS</t>
  </si>
  <si>
    <t>Percentual Sugerido</t>
  </si>
  <si>
    <t>Valores</t>
  </si>
  <si>
    <t>Sugestão de Investimento (20%)</t>
  </si>
  <si>
    <t>Simulador de Investimentos - 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</si>
</sst>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20"/>
      <color theme="0"/>
      <name val="Segoe UI Semibold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 Semibold"/>
      <family val="2"/>
    </font>
    <font>
      <sz val="36"/>
      <color theme="1"/>
      <name val="Algerian"/>
      <family val="5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3"/>
    <xf numFmtId="9" fontId="2" fillId="2" borderId="0" xfId="2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6" fillId="5" borderId="5" xfId="0" applyFont="1" applyFill="1" applyBorder="1" applyAlignment="1">
      <alignment horizontal="left" indent="3"/>
    </xf>
    <xf numFmtId="0" fontId="6" fillId="5" borderId="6" xfId="0" applyFont="1" applyFill="1" applyBorder="1" applyAlignment="1">
      <alignment horizontal="left" indent="3"/>
    </xf>
    <xf numFmtId="164" fontId="7" fillId="0" borderId="7" xfId="1" applyNumberFormat="1" applyFont="1" applyBorder="1" applyAlignment="1">
      <alignment horizontal="center"/>
    </xf>
    <xf numFmtId="0" fontId="6" fillId="5" borderId="8" xfId="0" applyFont="1" applyFill="1" applyBorder="1" applyAlignment="1">
      <alignment horizontal="left" indent="3"/>
    </xf>
    <xf numFmtId="0" fontId="6" fillId="5" borderId="9" xfId="0" applyFont="1" applyFill="1" applyBorder="1" applyAlignment="1">
      <alignment horizontal="left" indent="3"/>
    </xf>
    <xf numFmtId="10" fontId="7" fillId="0" borderId="10" xfId="0" applyNumberFormat="1" applyFont="1" applyBorder="1" applyAlignment="1">
      <alignment horizontal="center"/>
    </xf>
    <xf numFmtId="0" fontId="6" fillId="5" borderId="11" xfId="0" applyFont="1" applyFill="1" applyBorder="1" applyAlignment="1">
      <alignment horizontal="left" indent="3"/>
    </xf>
    <xf numFmtId="0" fontId="6" fillId="5" borderId="12" xfId="0" applyFont="1" applyFill="1" applyBorder="1" applyAlignment="1">
      <alignment horizontal="left" indent="3"/>
    </xf>
    <xf numFmtId="164" fontId="7" fillId="5" borderId="13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0" fontId="9" fillId="0" borderId="10" xfId="0" applyNumberFormat="1" applyFont="1" applyBorder="1" applyAlignment="1">
      <alignment horizontal="center"/>
    </xf>
    <xf numFmtId="0" fontId="10" fillId="7" borderId="8" xfId="0" applyFont="1" applyFill="1" applyBorder="1" applyAlignment="1">
      <alignment horizontal="left" indent="3"/>
    </xf>
    <xf numFmtId="0" fontId="10" fillId="7" borderId="9" xfId="0" applyFont="1" applyFill="1" applyBorder="1" applyAlignment="1">
      <alignment horizontal="left" indent="3"/>
    </xf>
    <xf numFmtId="8" fontId="9" fillId="7" borderId="10" xfId="0" applyNumberFormat="1" applyFont="1" applyFill="1" applyBorder="1" applyAlignment="1">
      <alignment horizontal="center"/>
    </xf>
    <xf numFmtId="0" fontId="10" fillId="7" borderId="11" xfId="0" applyFont="1" applyFill="1" applyBorder="1" applyAlignment="1">
      <alignment horizontal="left" indent="3"/>
    </xf>
    <xf numFmtId="0" fontId="10" fillId="7" borderId="12" xfId="0" applyFont="1" applyFill="1" applyBorder="1" applyAlignment="1">
      <alignment horizontal="left" indent="3"/>
    </xf>
    <xf numFmtId="8" fontId="9" fillId="7" borderId="13" xfId="0" applyNumberFormat="1" applyFont="1" applyFill="1" applyBorder="1" applyAlignment="1">
      <alignment horizontal="center"/>
    </xf>
    <xf numFmtId="9" fontId="0" fillId="0" borderId="0" xfId="0" applyNumberFormat="1"/>
    <xf numFmtId="0" fontId="11" fillId="6" borderId="4" xfId="0" applyFont="1" applyFill="1" applyBorder="1" applyAlignment="1">
      <alignment horizontal="center" vertical="center"/>
    </xf>
    <xf numFmtId="0" fontId="4" fillId="0" borderId="0" xfId="0" applyFont="1"/>
    <xf numFmtId="0" fontId="6" fillId="7" borderId="14" xfId="0" applyFont="1" applyFill="1" applyBorder="1" applyAlignment="1">
      <alignment horizontal="left" indent="3"/>
    </xf>
    <xf numFmtId="164" fontId="7" fillId="7" borderId="15" xfId="0" applyNumberFormat="1" applyFont="1" applyFill="1" applyBorder="1" applyAlignment="1">
      <alignment horizontal="center"/>
    </xf>
    <xf numFmtId="164" fontId="7" fillId="7" borderId="16" xfId="0" applyNumberFormat="1" applyFont="1" applyFill="1" applyBorder="1" applyAlignment="1">
      <alignment horizontal="center"/>
    </xf>
    <xf numFmtId="0" fontId="6" fillId="7" borderId="17" xfId="0" applyFont="1" applyFill="1" applyBorder="1" applyAlignment="1">
      <alignment horizontal="left" indent="3"/>
    </xf>
    <xf numFmtId="164" fontId="7" fillId="7" borderId="18" xfId="0" applyNumberFormat="1" applyFont="1" applyFill="1" applyBorder="1" applyAlignment="1">
      <alignment horizontal="center"/>
    </xf>
    <xf numFmtId="164" fontId="7" fillId="7" borderId="19" xfId="0" applyNumberFormat="1" applyFont="1" applyFill="1" applyBorder="1" applyAlignment="1">
      <alignment horizontal="center"/>
    </xf>
    <xf numFmtId="0" fontId="6" fillId="7" borderId="20" xfId="0" applyFont="1" applyFill="1" applyBorder="1" applyAlignment="1">
      <alignment horizontal="left" indent="3"/>
    </xf>
    <xf numFmtId="164" fontId="7" fillId="7" borderId="21" xfId="0" applyNumberFormat="1" applyFont="1" applyFill="1" applyBorder="1" applyAlignment="1">
      <alignment horizontal="center"/>
    </xf>
    <xf numFmtId="164" fontId="7" fillId="7" borderId="22" xfId="0" applyNumberFormat="1" applyFont="1" applyFill="1" applyBorder="1" applyAlignment="1">
      <alignment horizontal="center"/>
    </xf>
    <xf numFmtId="0" fontId="3" fillId="5" borderId="0" xfId="0" applyFont="1" applyFill="1"/>
    <xf numFmtId="164" fontId="3" fillId="5" borderId="0" xfId="1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3" fillId="8" borderId="0" xfId="0" applyFont="1" applyFill="1"/>
    <xf numFmtId="164" fontId="3" fillId="8" borderId="0" xfId="0" applyNumberFormat="1" applyFont="1" applyFill="1" applyAlignment="1">
      <alignment horizontal="center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2" fillId="11" borderId="0" xfId="3" applyFill="1"/>
    <xf numFmtId="0" fontId="2" fillId="11" borderId="0" xfId="3" applyFill="1" applyAlignment="1">
      <alignment horizontal="center"/>
    </xf>
    <xf numFmtId="0" fontId="12" fillId="11" borderId="0" xfId="0" applyFont="1" applyFill="1" applyAlignment="1">
      <alignment horizontal="center" vertical="center" wrapText="1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DD-4F22-BCE6-3FC5408D10E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DD-4F22-BCE6-3FC5408D10E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DD-4F22-BCE6-3FC5408D10E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DD-4F22-BCE6-3FC5408D10E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6DD-4F22-BCE6-3FC5408D10E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6DD-4F22-BCE6-3FC5408D10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6DD-4F22-BCE6-3FC5408D1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4E83A8-DF75-4620-B4D6-8E5372D65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i\Documents\Cursos\Bootcamps\Santander%20-%20Excel%20com%20IA\Desafio%20de%20Projetos\a04b81b1-8e35-4e72-aeb9-98aed8ed4403.xlsx" TargetMode="External"/><Relationship Id="rId1" Type="http://schemas.openxmlformats.org/officeDocument/2006/relationships/externalLinkPath" Target="a04b81b1-8e35-4e72-aeb9-98aed8ed4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2"/>
    </sheetNames>
    <sheetDataSet>
      <sheetData sheetId="0">
        <row r="13">
          <cell r="D13">
            <v>6.0000000000000001E-3</v>
          </cell>
        </row>
        <row r="17">
          <cell r="D17">
            <v>200</v>
          </cell>
        </row>
        <row r="35">
          <cell r="C35" t="str">
            <v>Percentual Sugerido</v>
          </cell>
        </row>
        <row r="36">
          <cell r="B36" t="str">
            <v>PAPEL</v>
          </cell>
          <cell r="C36">
            <v>0.32</v>
          </cell>
        </row>
        <row r="37">
          <cell r="B37" t="str">
            <v>TIJOLO</v>
          </cell>
          <cell r="C37">
            <v>0.35</v>
          </cell>
        </row>
        <row r="38">
          <cell r="B38" t="str">
            <v>HÍBRIDOS</v>
          </cell>
          <cell r="C38">
            <v>0.08</v>
          </cell>
        </row>
        <row r="39">
          <cell r="B39" t="str">
            <v>FOFs</v>
          </cell>
          <cell r="C39">
            <v>0.05</v>
          </cell>
        </row>
        <row r="40">
          <cell r="B40" t="str">
            <v>DESENVOLVIMENTO</v>
          </cell>
          <cell r="C40">
            <v>0.1</v>
          </cell>
        </row>
        <row r="41">
          <cell r="B41" t="str">
            <v>HOTELARIAS</v>
          </cell>
          <cell r="C41">
            <v>0.1</v>
          </cell>
        </row>
      </sheetData>
      <sheetData sheetId="1">
        <row r="2">
          <cell r="A2" t="str">
            <v>CHAVE</v>
          </cell>
          <cell r="B2" t="str">
            <v>PERFIL</v>
          </cell>
          <cell r="C2" t="str">
            <v>TIPO DE FII</v>
          </cell>
          <cell r="D2" t="str">
            <v>%</v>
          </cell>
        </row>
        <row r="3">
          <cell r="A3" t="str">
            <v>Conservador-PAPEL</v>
          </cell>
          <cell r="B3" t="str">
            <v>Conservador</v>
          </cell>
          <cell r="C3" t="str">
            <v>PAPEL</v>
          </cell>
          <cell r="D3">
            <v>0.3</v>
          </cell>
        </row>
        <row r="4">
          <cell r="A4" t="str">
            <v>Conservador-TIJOLO</v>
          </cell>
          <cell r="B4" t="str">
            <v>Conservador</v>
          </cell>
          <cell r="C4" t="str">
            <v>TIJOLO</v>
          </cell>
          <cell r="D4">
            <v>0.5</v>
          </cell>
        </row>
        <row r="5">
          <cell r="A5" t="str">
            <v>Conservador-HÍBRIDOS</v>
          </cell>
          <cell r="B5" t="str">
            <v>Conservador</v>
          </cell>
          <cell r="C5" t="str">
            <v>HÍBRIDOS</v>
          </cell>
          <cell r="D5">
            <v>0.1</v>
          </cell>
        </row>
        <row r="6">
          <cell r="A6" t="str">
            <v>Conservador-FOFs</v>
          </cell>
          <cell r="B6" t="str">
            <v>Conservador</v>
          </cell>
          <cell r="C6" t="str">
            <v>FOFs</v>
          </cell>
          <cell r="D6">
            <v>0.1</v>
          </cell>
        </row>
        <row r="7">
          <cell r="A7" t="str">
            <v>Conservador-DESENVOLVIMENTO</v>
          </cell>
          <cell r="B7" t="str">
            <v>Conservador</v>
          </cell>
          <cell r="C7" t="str">
            <v>DESENVOLVIMENTO</v>
          </cell>
          <cell r="D7">
            <v>0</v>
          </cell>
        </row>
        <row r="8">
          <cell r="A8" t="str">
            <v>Conservador-HOTELARIAS</v>
          </cell>
          <cell r="B8" t="str">
            <v>Conservador</v>
          </cell>
          <cell r="C8" t="str">
            <v>HOTELARIAS</v>
          </cell>
          <cell r="D8">
            <v>0</v>
          </cell>
        </row>
        <row r="9">
          <cell r="A9" t="str">
            <v>Moderado-PAPEL</v>
          </cell>
          <cell r="B9" t="str">
            <v>Moderado</v>
          </cell>
          <cell r="C9" t="str">
            <v>PAPEL</v>
          </cell>
          <cell r="D9">
            <v>0.32</v>
          </cell>
        </row>
        <row r="10">
          <cell r="A10" t="str">
            <v>Moderado-TIJOLO</v>
          </cell>
          <cell r="B10" t="str">
            <v>Moderado</v>
          </cell>
          <cell r="C10" t="str">
            <v>TIJOLO</v>
          </cell>
          <cell r="D10">
            <v>0.35</v>
          </cell>
        </row>
        <row r="11">
          <cell r="A11" t="str">
            <v>Moderado-HÍBRIDOS</v>
          </cell>
          <cell r="B11" t="str">
            <v>Moderado</v>
          </cell>
          <cell r="C11" t="str">
            <v>HÍBRIDOS</v>
          </cell>
          <cell r="D11">
            <v>0.08</v>
          </cell>
        </row>
        <row r="12">
          <cell r="A12" t="str">
            <v>Moderado-FOFs</v>
          </cell>
          <cell r="B12" t="str">
            <v>Moderado</v>
          </cell>
          <cell r="C12" t="str">
            <v>FOFs</v>
          </cell>
          <cell r="D12">
            <v>0.05</v>
          </cell>
        </row>
        <row r="13">
          <cell r="A13" t="str">
            <v>Moderado-DESENVOLVIMENTO</v>
          </cell>
          <cell r="B13" t="str">
            <v>Moderado</v>
          </cell>
          <cell r="C13" t="str">
            <v>DESENVOLVIMENTO</v>
          </cell>
          <cell r="D13">
            <v>0.1</v>
          </cell>
        </row>
        <row r="14">
          <cell r="A14" t="str">
            <v>Moderado-HOTELARIAS</v>
          </cell>
          <cell r="B14" t="str">
            <v>Moderado</v>
          </cell>
          <cell r="C14" t="str">
            <v>HOTELARIAS</v>
          </cell>
          <cell r="D14">
            <v>0.1</v>
          </cell>
        </row>
        <row r="15">
          <cell r="A15" t="str">
            <v>Agressivo-PAPEL</v>
          </cell>
          <cell r="B15" t="str">
            <v>Agressivo</v>
          </cell>
          <cell r="C15" t="str">
            <v>PAPEL</v>
          </cell>
          <cell r="D15">
            <v>0.5</v>
          </cell>
        </row>
        <row r="16">
          <cell r="A16" t="str">
            <v>Agressivo-TIJOLO</v>
          </cell>
          <cell r="B16" t="str">
            <v>Agressivo</v>
          </cell>
          <cell r="C16" t="str">
            <v>TIJOLO</v>
          </cell>
          <cell r="D16">
            <v>0.1</v>
          </cell>
        </row>
        <row r="17">
          <cell r="A17" t="str">
            <v>Agressivo-HÍBRIDOS</v>
          </cell>
          <cell r="B17" t="str">
            <v>Agressivo</v>
          </cell>
          <cell r="C17" t="str">
            <v>HÍBRIDOS</v>
          </cell>
          <cell r="D17">
            <v>0.05</v>
          </cell>
        </row>
        <row r="18">
          <cell r="A18" t="str">
            <v>Agressivo-FOFs</v>
          </cell>
          <cell r="B18" t="str">
            <v>Agressivo</v>
          </cell>
          <cell r="C18" t="str">
            <v>FOFs</v>
          </cell>
          <cell r="D18">
            <v>0.05</v>
          </cell>
        </row>
        <row r="19">
          <cell r="A19" t="str">
            <v>Agressivo-DESENVOLVIMENTO</v>
          </cell>
          <cell r="B19" t="str">
            <v>Agressivo</v>
          </cell>
          <cell r="C19" t="str">
            <v>DESENVOLVIMENTO</v>
          </cell>
          <cell r="D19">
            <v>0.2</v>
          </cell>
        </row>
        <row r="20">
          <cell r="A20" t="str">
            <v>Agressivo-HOTELARIAS</v>
          </cell>
          <cell r="B20" t="str">
            <v>Agressivo</v>
          </cell>
          <cell r="C20" t="str">
            <v>HOTELARIAS</v>
          </cell>
          <cell r="D20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87C9-8CEE-49AF-8AE4-9A9507F3ED8E}">
  <dimension ref="A2:H61"/>
  <sheetViews>
    <sheetView showGridLines="0" tabSelected="1" zoomScale="110" zoomScaleNormal="110" workbookViewId="0">
      <selection activeCell="B10" sqref="B10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2" spans="2:4" x14ac:dyDescent="0.25">
      <c r="B2" s="59" t="s">
        <v>34</v>
      </c>
      <c r="C2" s="59"/>
      <c r="D2" s="59"/>
    </row>
    <row r="3" spans="2:4" x14ac:dyDescent="0.25">
      <c r="B3" s="59"/>
      <c r="C3" s="59"/>
      <c r="D3" s="59"/>
    </row>
    <row r="4" spans="2:4" x14ac:dyDescent="0.25">
      <c r="B4" s="59"/>
      <c r="C4" s="59"/>
      <c r="D4" s="59"/>
    </row>
    <row r="5" spans="2:4" x14ac:dyDescent="0.25">
      <c r="B5" s="59"/>
      <c r="C5" s="59"/>
      <c r="D5" s="59"/>
    </row>
    <row r="6" spans="2:4" x14ac:dyDescent="0.25">
      <c r="B6" s="59"/>
      <c r="C6" s="59"/>
      <c r="D6" s="59"/>
    </row>
    <row r="7" spans="2:4" x14ac:dyDescent="0.25">
      <c r="B7" s="59"/>
      <c r="C7" s="59"/>
      <c r="D7" s="59"/>
    </row>
    <row r="8" spans="2:4" x14ac:dyDescent="0.25">
      <c r="B8" s="59"/>
      <c r="C8" s="59"/>
      <c r="D8" s="59"/>
    </row>
    <row r="9" spans="2:4" x14ac:dyDescent="0.25">
      <c r="B9" s="59"/>
      <c r="C9" s="59"/>
      <c r="D9" s="59"/>
    </row>
    <row r="10" spans="2:4" ht="15.75" thickBot="1" x14ac:dyDescent="0.3"/>
    <row r="11" spans="2:4" ht="26.25" x14ac:dyDescent="0.25">
      <c r="B11" s="51" t="s">
        <v>14</v>
      </c>
      <c r="C11" s="52"/>
      <c r="D11" s="53"/>
    </row>
    <row r="12" spans="2:4" ht="17.25" x14ac:dyDescent="0.3">
      <c r="B12" s="13" t="s">
        <v>15</v>
      </c>
      <c r="C12" s="14"/>
      <c r="D12" s="15">
        <v>4823</v>
      </c>
    </row>
    <row r="13" spans="2:4" ht="17.25" x14ac:dyDescent="0.3">
      <c r="B13" s="16" t="s">
        <v>16</v>
      </c>
      <c r="C13" s="17"/>
      <c r="D13" s="18">
        <v>6.0000000000000001E-3</v>
      </c>
    </row>
    <row r="14" spans="2:4" ht="18" thickBot="1" x14ac:dyDescent="0.35">
      <c r="B14" s="19" t="s">
        <v>33</v>
      </c>
      <c r="C14" s="20"/>
      <c r="D14" s="21">
        <f>D12*20%</f>
        <v>964.6</v>
      </c>
    </row>
    <row r="15" spans="2:4" ht="15.75" thickBot="1" x14ac:dyDescent="0.3"/>
    <row r="16" spans="2:4" ht="28.5" customHeight="1" x14ac:dyDescent="0.25">
      <c r="B16" s="54" t="s">
        <v>17</v>
      </c>
      <c r="C16" s="55"/>
      <c r="D16" s="56"/>
    </row>
    <row r="17" spans="1:6" ht="17.25" x14ac:dyDescent="0.3">
      <c r="B17" s="13" t="s">
        <v>18</v>
      </c>
      <c r="C17" s="14"/>
      <c r="D17" s="24">
        <v>964.6</v>
      </c>
    </row>
    <row r="18" spans="1:6" ht="17.25" x14ac:dyDescent="0.3">
      <c r="B18" s="16" t="s">
        <v>19</v>
      </c>
      <c r="C18" s="17"/>
      <c r="D18" s="25">
        <v>6</v>
      </c>
    </row>
    <row r="19" spans="1:6" ht="17.25" x14ac:dyDescent="0.3">
      <c r="B19" s="16" t="s">
        <v>20</v>
      </c>
      <c r="C19" s="17"/>
      <c r="D19" s="26">
        <v>1.0789999999999999E-2</v>
      </c>
    </row>
    <row r="20" spans="1:6" ht="17.25" x14ac:dyDescent="0.3">
      <c r="B20" s="27" t="s">
        <v>21</v>
      </c>
      <c r="C20" s="28"/>
      <c r="D20" s="29">
        <f>FV(taxa_mensal,qtd_anos*12,aporte*-1)</f>
        <v>21606.040198319984</v>
      </c>
    </row>
    <row r="21" spans="1:6" ht="18" thickBot="1" x14ac:dyDescent="0.35">
      <c r="B21" s="30" t="s">
        <v>22</v>
      </c>
      <c r="C21" s="31"/>
      <c r="D21" s="32">
        <f>patrimonio*rendimento_carteira</f>
        <v>129.6362411899199</v>
      </c>
      <c r="F21" s="33"/>
    </row>
    <row r="22" spans="1:6" ht="15.75" thickBot="1" x14ac:dyDescent="0.3"/>
    <row r="23" spans="1:6" ht="30.75" x14ac:dyDescent="0.25">
      <c r="B23" s="22" t="s">
        <v>23</v>
      </c>
      <c r="C23" s="23"/>
      <c r="D23" s="34" t="s">
        <v>24</v>
      </c>
    </row>
    <row r="24" spans="1:6" ht="17.25" x14ac:dyDescent="0.3">
      <c r="A24" s="35">
        <v>2</v>
      </c>
      <c r="B24" s="36" t="s">
        <v>25</v>
      </c>
      <c r="C24" s="37">
        <f>FV($D$19,$A24*12,$D$17*-1)</f>
        <v>26263.769291308578</v>
      </c>
      <c r="D24" s="38">
        <f>C24*rendimento_carteira</f>
        <v>157.58261574785146</v>
      </c>
    </row>
    <row r="25" spans="1:6" ht="17.25" x14ac:dyDescent="0.3">
      <c r="A25" s="35">
        <v>5</v>
      </c>
      <c r="B25" s="39" t="s">
        <v>26</v>
      </c>
      <c r="C25" s="40">
        <f>FV($D$19,$A25*12,$D$17*-1)</f>
        <v>80811.211242941179</v>
      </c>
      <c r="D25" s="41">
        <f>C25*rendimento_carteira</f>
        <v>484.86726745764707</v>
      </c>
    </row>
    <row r="26" spans="1:6" ht="17.25" x14ac:dyDescent="0.3">
      <c r="A26" s="35">
        <v>10</v>
      </c>
      <c r="B26" s="39" t="s">
        <v>27</v>
      </c>
      <c r="C26" s="40">
        <f>FV($D$19,$A26*12,$D$17*-1)</f>
        <v>234671.95140660412</v>
      </c>
      <c r="D26" s="41">
        <f>C26*rendimento_carteira</f>
        <v>1408.0317084396247</v>
      </c>
    </row>
    <row r="27" spans="1:6" ht="17.25" x14ac:dyDescent="0.3">
      <c r="A27" s="35">
        <v>20</v>
      </c>
      <c r="B27" s="39" t="s">
        <v>28</v>
      </c>
      <c r="C27" s="40">
        <f>FV($D$19,$A27*12,$D$17*-1)</f>
        <v>1085366.3767336439</v>
      </c>
      <c r="D27" s="41">
        <f>C27*rendimento_carteira</f>
        <v>6512.198260401864</v>
      </c>
    </row>
    <row r="28" spans="1:6" ht="18" thickBot="1" x14ac:dyDescent="0.35">
      <c r="A28" s="35">
        <v>30</v>
      </c>
      <c r="B28" s="42" t="s">
        <v>29</v>
      </c>
      <c r="C28" s="43">
        <f>FV($D$19,$A28*12,$D$17*-1)</f>
        <v>4169164.8492175476</v>
      </c>
      <c r="D28" s="44">
        <f>C28*rendimento_carteira</f>
        <v>25014.989095305285</v>
      </c>
    </row>
    <row r="32" spans="1:6" x14ac:dyDescent="0.25">
      <c r="B32" s="57" t="s">
        <v>1</v>
      </c>
      <c r="C32" s="58" t="s">
        <v>13</v>
      </c>
      <c r="D32" s="57"/>
    </row>
    <row r="33" spans="2:4" x14ac:dyDescent="0.25">
      <c r="B33" s="45" t="s">
        <v>30</v>
      </c>
      <c r="C33" s="46">
        <v>964.6</v>
      </c>
      <c r="D33" s="45"/>
    </row>
    <row r="35" spans="2:4" x14ac:dyDescent="0.25">
      <c r="B35" s="47" t="s">
        <v>2</v>
      </c>
      <c r="C35" s="47" t="s">
        <v>31</v>
      </c>
      <c r="D35" s="47" t="s">
        <v>32</v>
      </c>
    </row>
    <row r="36" spans="2:4" x14ac:dyDescent="0.25">
      <c r="B36" s="3" t="s">
        <v>5</v>
      </c>
      <c r="C36" s="4">
        <f>VLOOKUP($C$32&amp;"-"&amp;B36,[1]Planilha2!$A:$D,4,FALSE)</f>
        <v>0.5</v>
      </c>
      <c r="D36" s="48">
        <f>C36*$C$33</f>
        <v>482.3</v>
      </c>
    </row>
    <row r="37" spans="2:4" x14ac:dyDescent="0.25">
      <c r="B37" s="3" t="s">
        <v>6</v>
      </c>
      <c r="C37" s="4">
        <f>VLOOKUP($C$32&amp;"-"&amp;B37,[1]Planilha2!$A:$D,4,FALSE)</f>
        <v>0.1</v>
      </c>
      <c r="D37" s="48">
        <f t="shared" ref="D37:D41" si="0">C37*$C$33</f>
        <v>96.460000000000008</v>
      </c>
    </row>
    <row r="38" spans="2:4" x14ac:dyDescent="0.25">
      <c r="B38" s="3" t="s">
        <v>8</v>
      </c>
      <c r="C38" s="4">
        <f>VLOOKUP($C$32&amp;"-"&amp;B38,[1]Planilha2!$A:$D,4,FALSE)</f>
        <v>0.05</v>
      </c>
      <c r="D38" s="48">
        <f t="shared" si="0"/>
        <v>48.230000000000004</v>
      </c>
    </row>
    <row r="39" spans="2:4" x14ac:dyDescent="0.25">
      <c r="B39" s="3" t="s">
        <v>9</v>
      </c>
      <c r="C39" s="4">
        <f>VLOOKUP($C$32&amp;"-"&amp;B39,[1]Planilha2!$A:$D,4,FALSE)</f>
        <v>0.05</v>
      </c>
      <c r="D39" s="48">
        <f t="shared" si="0"/>
        <v>48.230000000000004</v>
      </c>
    </row>
    <row r="40" spans="2:4" x14ac:dyDescent="0.25">
      <c r="B40" s="3" t="s">
        <v>10</v>
      </c>
      <c r="C40" s="4">
        <f>VLOOKUP($C$32&amp;"-"&amp;B40,[1]Planilha2!$A:$D,4,FALSE)</f>
        <v>0.2</v>
      </c>
      <c r="D40" s="48">
        <f t="shared" si="0"/>
        <v>192.92000000000002</v>
      </c>
    </row>
    <row r="41" spans="2:4" x14ac:dyDescent="0.25">
      <c r="B41" s="3" t="s">
        <v>11</v>
      </c>
      <c r="C41" s="4">
        <f>VLOOKUP($C$32&amp;"-"&amp;B41,[1]Planilha2!$A:$D,4,FALSE)</f>
        <v>0.1</v>
      </c>
      <c r="D41" s="48">
        <f t="shared" si="0"/>
        <v>96.460000000000008</v>
      </c>
    </row>
    <row r="42" spans="2:4" x14ac:dyDescent="0.25">
      <c r="B42" s="49"/>
      <c r="C42" s="49"/>
      <c r="D42" s="50">
        <f>SUM(D36:D41)</f>
        <v>964.60000000000014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</sheetData>
  <mergeCells count="12">
    <mergeCell ref="B2:D9"/>
    <mergeCell ref="B19:C19"/>
    <mergeCell ref="B20:C20"/>
    <mergeCell ref="B21:C21"/>
    <mergeCell ref="B23:C23"/>
    <mergeCell ref="B11:D11"/>
    <mergeCell ref="B12:C12"/>
    <mergeCell ref="B13:C13"/>
    <mergeCell ref="B14:C14"/>
    <mergeCell ref="B16:D16"/>
    <mergeCell ref="B17:C17"/>
    <mergeCell ref="B18:C18"/>
  </mergeCells>
  <dataValidations count="1">
    <dataValidation type="list" allowBlank="1" showInputMessage="1" showErrorMessage="1" sqref="C32" xr:uid="{7DA34088-DA4C-43F1-B593-F4C0E500A42C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D4C9-DB7C-4A49-AE75-DDC4E305E8C2}">
  <dimension ref="A2:H21"/>
  <sheetViews>
    <sheetView showGridLines="0" zoomScale="115" zoomScaleNormal="115" workbookViewId="0">
      <selection activeCell="C7" sqref="C7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1" t="s">
        <v>0</v>
      </c>
      <c r="B2" s="1" t="s">
        <v>1</v>
      </c>
      <c r="C2" s="2" t="s">
        <v>2</v>
      </c>
      <c r="D2" s="2" t="s">
        <v>3</v>
      </c>
    </row>
    <row r="3" spans="1:8" x14ac:dyDescent="0.25">
      <c r="A3" t="str">
        <f>B3&amp;"-"&amp;C3</f>
        <v>Conservador-PAPEL</v>
      </c>
      <c r="B3" t="s">
        <v>4</v>
      </c>
      <c r="C3" s="3" t="s">
        <v>5</v>
      </c>
      <c r="D3" s="4">
        <v>0.3</v>
      </c>
      <c r="H3" t="s">
        <v>3</v>
      </c>
    </row>
    <row r="4" spans="1:8" x14ac:dyDescent="0.25">
      <c r="A4" t="str">
        <f t="shared" ref="A4:A20" si="0">B4&amp;"-"&amp;C4</f>
        <v>Conservador-TIJOLO</v>
      </c>
      <c r="B4" t="s">
        <v>4</v>
      </c>
      <c r="C4" s="3" t="s">
        <v>6</v>
      </c>
      <c r="D4" s="4">
        <v>0.5</v>
      </c>
      <c r="G4" s="5" t="s">
        <v>7</v>
      </c>
      <c r="H4" s="6">
        <f>VLOOKUP(G4,$A:$D,4,FALSE)</f>
        <v>0.35</v>
      </c>
    </row>
    <row r="5" spans="1:8" x14ac:dyDescent="0.25">
      <c r="A5" t="str">
        <f t="shared" si="0"/>
        <v>Conservador-HÍBRIDOS</v>
      </c>
      <c r="B5" t="s">
        <v>4</v>
      </c>
      <c r="C5" s="3" t="s">
        <v>8</v>
      </c>
      <c r="D5" s="4">
        <v>0.1</v>
      </c>
    </row>
    <row r="6" spans="1:8" x14ac:dyDescent="0.25">
      <c r="A6" t="str">
        <f t="shared" si="0"/>
        <v>Conservador-FOFs</v>
      </c>
      <c r="B6" t="s">
        <v>4</v>
      </c>
      <c r="C6" s="3" t="s">
        <v>9</v>
      </c>
      <c r="D6" s="4">
        <v>0.1</v>
      </c>
    </row>
    <row r="7" spans="1:8" x14ac:dyDescent="0.25">
      <c r="A7" t="str">
        <f t="shared" si="0"/>
        <v>Conservador-DESENVOLVIMENTO</v>
      </c>
      <c r="B7" t="s">
        <v>4</v>
      </c>
      <c r="C7" s="3" t="s">
        <v>10</v>
      </c>
      <c r="D7" s="4">
        <v>0</v>
      </c>
    </row>
    <row r="8" spans="1:8" ht="15.75" thickBot="1" x14ac:dyDescent="0.3">
      <c r="A8" s="7" t="str">
        <f t="shared" si="0"/>
        <v>Conservador-HOTELARIAS</v>
      </c>
      <c r="B8" s="7" t="s">
        <v>4</v>
      </c>
      <c r="C8" s="8" t="s">
        <v>11</v>
      </c>
      <c r="D8" s="9">
        <v>0</v>
      </c>
    </row>
    <row r="9" spans="1:8" x14ac:dyDescent="0.25">
      <c r="A9" t="str">
        <f t="shared" si="0"/>
        <v>Moderado-PAPEL</v>
      </c>
      <c r="B9" t="s">
        <v>12</v>
      </c>
      <c r="C9" s="3" t="s">
        <v>5</v>
      </c>
      <c r="D9" s="4">
        <v>0.32</v>
      </c>
    </row>
    <row r="10" spans="1:8" x14ac:dyDescent="0.25">
      <c r="A10" s="10" t="str">
        <f t="shared" si="0"/>
        <v>Moderado-TIJOLO</v>
      </c>
      <c r="B10" s="10" t="s">
        <v>12</v>
      </c>
      <c r="C10" s="11" t="s">
        <v>6</v>
      </c>
      <c r="D10" s="12">
        <v>0.35</v>
      </c>
    </row>
    <row r="11" spans="1:8" x14ac:dyDescent="0.25">
      <c r="A11" t="str">
        <f t="shared" si="0"/>
        <v>Moderado-HÍBRIDOS</v>
      </c>
      <c r="B11" t="s">
        <v>12</v>
      </c>
      <c r="C11" s="3" t="s">
        <v>8</v>
      </c>
      <c r="D11" s="4">
        <v>0.08</v>
      </c>
    </row>
    <row r="12" spans="1:8" x14ac:dyDescent="0.25">
      <c r="A12" t="str">
        <f t="shared" si="0"/>
        <v>Moderado-FOFs</v>
      </c>
      <c r="B12" t="s">
        <v>12</v>
      </c>
      <c r="C12" s="3" t="s">
        <v>9</v>
      </c>
      <c r="D12" s="4">
        <v>0.05</v>
      </c>
    </row>
    <row r="13" spans="1:8" x14ac:dyDescent="0.25">
      <c r="A13" t="str">
        <f t="shared" si="0"/>
        <v>Moderado-DESENVOLVIMENTO</v>
      </c>
      <c r="B13" t="s">
        <v>12</v>
      </c>
      <c r="C13" s="3" t="s">
        <v>10</v>
      </c>
      <c r="D13" s="4">
        <v>0.1</v>
      </c>
    </row>
    <row r="14" spans="1:8" ht="15.75" thickBot="1" x14ac:dyDescent="0.3">
      <c r="A14" s="7" t="str">
        <f t="shared" si="0"/>
        <v>Moderado-HOTELARIAS</v>
      </c>
      <c r="B14" s="7" t="s">
        <v>12</v>
      </c>
      <c r="C14" s="8" t="s">
        <v>11</v>
      </c>
      <c r="D14" s="9">
        <v>0.1</v>
      </c>
    </row>
    <row r="15" spans="1:8" x14ac:dyDescent="0.25">
      <c r="A15" t="str">
        <f t="shared" si="0"/>
        <v>Agressivo-PAPEL</v>
      </c>
      <c r="B15" t="s">
        <v>13</v>
      </c>
      <c r="C15" s="3" t="s">
        <v>5</v>
      </c>
      <c r="D15" s="4">
        <v>0.5</v>
      </c>
    </row>
    <row r="16" spans="1:8" x14ac:dyDescent="0.25">
      <c r="A16" t="str">
        <f t="shared" si="0"/>
        <v>Agressivo-TIJOLO</v>
      </c>
      <c r="B16" t="s">
        <v>13</v>
      </c>
      <c r="C16" s="3" t="s">
        <v>6</v>
      </c>
      <c r="D16" s="4">
        <v>0.1</v>
      </c>
    </row>
    <row r="17" spans="1:4" x14ac:dyDescent="0.25">
      <c r="A17" t="str">
        <f t="shared" si="0"/>
        <v>Agressivo-HÍBRIDOS</v>
      </c>
      <c r="B17" t="s">
        <v>13</v>
      </c>
      <c r="C17" s="3" t="s">
        <v>8</v>
      </c>
      <c r="D17" s="4">
        <v>0.05</v>
      </c>
    </row>
    <row r="18" spans="1:4" x14ac:dyDescent="0.25">
      <c r="A18" t="str">
        <f t="shared" si="0"/>
        <v>Agressivo-FOFs</v>
      </c>
      <c r="B18" t="s">
        <v>13</v>
      </c>
      <c r="C18" s="3" t="s">
        <v>9</v>
      </c>
      <c r="D18" s="4">
        <v>0.05</v>
      </c>
    </row>
    <row r="19" spans="1:4" x14ac:dyDescent="0.25">
      <c r="A19" t="str">
        <f t="shared" si="0"/>
        <v>Agressivo-DESENVOLVIMENTO</v>
      </c>
      <c r="B19" t="s">
        <v>13</v>
      </c>
      <c r="C19" s="3" t="s">
        <v>10</v>
      </c>
      <c r="D19" s="4">
        <v>0.2</v>
      </c>
    </row>
    <row r="20" spans="1:4" x14ac:dyDescent="0.25">
      <c r="A20" t="str">
        <f t="shared" si="0"/>
        <v>Agressivo-HOTELARIAS</v>
      </c>
      <c r="B20" t="s">
        <v>13</v>
      </c>
      <c r="C20" s="3" t="s">
        <v>11</v>
      </c>
      <c r="D20" s="4">
        <v>0.1</v>
      </c>
    </row>
    <row r="21" spans="1:4" x14ac:dyDescent="0.25">
      <c r="D21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Simulador</vt:lpstr>
      <vt:lpstr>Apoio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Gomes</dc:creator>
  <cp:lastModifiedBy>Ed Gomes</cp:lastModifiedBy>
  <dcterms:created xsi:type="dcterms:W3CDTF">2026-02-02T00:33:31Z</dcterms:created>
  <dcterms:modified xsi:type="dcterms:W3CDTF">2026-02-02T00:47:41Z</dcterms:modified>
</cp:coreProperties>
</file>